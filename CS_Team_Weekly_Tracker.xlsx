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Plan" sheetId="1" state="visible" r:id="rId1"/>
    <sheet xmlns:r="http://schemas.openxmlformats.org/officeDocument/2006/relationships" name="Elías Zapata" sheetId="2" state="visible" r:id="rId2"/>
    <sheet xmlns:r="http://schemas.openxmlformats.org/officeDocument/2006/relationships" name="Gabriela Cader" sheetId="3" state="visible" r:id="rId3"/>
    <sheet xmlns:r="http://schemas.openxmlformats.org/officeDocument/2006/relationships" name="Jacqueline Estrada" sheetId="4" state="visible" r:id="rId4"/>
    <sheet xmlns:r="http://schemas.openxmlformats.org/officeDocument/2006/relationships" name="Dashboard" sheetId="5" state="visible" r:id="rId5"/>
    <sheet xmlns:r="http://schemas.openxmlformats.org/officeDocument/2006/relationships" name="Instru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0.0&quot;%&quot;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b val="1"/>
      <color rgb="000078D4"/>
      <sz val="11"/>
    </font>
    <font>
      <sz val="11"/>
    </font>
  </fonts>
  <fills count="6">
    <fill>
      <patternFill/>
    </fill>
    <fill>
      <patternFill patternType="gray125"/>
    </fill>
    <fill>
      <patternFill patternType="solid">
        <fgColor rgb="000078D4"/>
        <bgColor rgb="000078D4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D9E8F5"/>
        <bgColor rgb="00D9E8F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164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35" customWidth="1" min="3" max="3"/>
    <col width="12" customWidth="1" min="4" max="4"/>
    <col width="10" customWidth="1" min="5" max="5"/>
    <col width="12" customWidth="1" min="6" max="6"/>
    <col width="14" customWidth="1" min="7" max="7"/>
    <col width="25" customWidth="1" min="8" max="8"/>
  </cols>
  <sheetData>
    <row r="1" ht="25" customHeight="1">
      <c r="A1" s="1" t="inlineStr">
        <is>
          <t>Agent</t>
        </is>
      </c>
      <c r="B1" s="1" t="inlineStr">
        <is>
          <t>Task Type</t>
        </is>
      </c>
      <c r="C1" s="1" t="inlineStr">
        <is>
          <t>Description</t>
        </is>
      </c>
      <c r="D1" s="1" t="inlineStr">
        <is>
          <t>Day</t>
        </is>
      </c>
      <c r="E1" s="1" t="inlineStr">
        <is>
          <t>Hours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Comments</t>
        </is>
      </c>
    </row>
    <row r="2">
      <c r="A2" s="2" t="inlineStr">
        <is>
          <t>Elías Zapata</t>
        </is>
      </c>
      <c r="B2" s="2" t="inlineStr">
        <is>
          <t>Ticket Support</t>
        </is>
      </c>
      <c r="C2" s="2" t="inlineStr">
        <is>
          <t>HubSpot queue review and ticket resolution</t>
        </is>
      </c>
      <c r="D2" s="2" t="inlineStr">
        <is>
          <t>Monday</t>
        </is>
      </c>
      <c r="E2" s="3" t="n">
        <v>2</v>
      </c>
      <c r="F2" s="2" t="inlineStr">
        <is>
          <t>Medium</t>
        </is>
      </c>
      <c r="G2" s="2" t="inlineStr">
        <is>
          <t>Pending</t>
        </is>
      </c>
      <c r="H2" s="2" t="inlineStr">
        <is>
          <t>-</t>
        </is>
      </c>
    </row>
    <row r="3">
      <c r="A3" s="4" t="inlineStr">
        <is>
          <t>Gabriela Cader</t>
        </is>
      </c>
      <c r="B3" s="4" t="inlineStr">
        <is>
          <t>Product</t>
        </is>
      </c>
      <c r="C3" s="4" t="inlineStr">
        <is>
          <t>Shopping cart logic - discount rules</t>
        </is>
      </c>
      <c r="D3" s="4" t="inlineStr">
        <is>
          <t>Monday</t>
        </is>
      </c>
      <c r="E3" s="5" t="n">
        <v>2</v>
      </c>
      <c r="F3" s="4" t="inlineStr">
        <is>
          <t>High</t>
        </is>
      </c>
      <c r="G3" s="4" t="inlineStr">
        <is>
          <t>Pending</t>
        </is>
      </c>
      <c r="H3" s="4" t="inlineStr">
        <is>
          <t>-</t>
        </is>
      </c>
    </row>
    <row r="4">
      <c r="A4" s="2" t="inlineStr">
        <is>
          <t>Jacqueline Estrada</t>
        </is>
      </c>
      <c r="B4" s="2" t="inlineStr">
        <is>
          <t>Ticket Support</t>
        </is>
      </c>
      <c r="C4" s="2" t="inlineStr">
        <is>
          <t>6 customer tickets - standard support</t>
        </is>
      </c>
      <c r="D4" s="2" t="inlineStr">
        <is>
          <t>Monday</t>
        </is>
      </c>
      <c r="E4" s="3" t="n">
        <v>2</v>
      </c>
      <c r="F4" s="2" t="inlineStr">
        <is>
          <t>Low</t>
        </is>
      </c>
      <c r="G4" s="2" t="inlineStr">
        <is>
          <t>Pending</t>
        </is>
      </c>
      <c r="H4" s="2" t="inlineStr">
        <is>
          <t>-</t>
        </is>
      </c>
    </row>
    <row r="5">
      <c r="A5" s="4" t="inlineStr">
        <is>
          <t>Elías Zapata</t>
        </is>
      </c>
      <c r="B5" s="4" t="inlineStr">
        <is>
          <t>Team Support</t>
        </is>
      </c>
      <c r="C5" s="4" t="inlineStr">
        <is>
          <t>Support A2 and A3 on complex cases</t>
        </is>
      </c>
      <c r="D5" s="4" t="inlineStr">
        <is>
          <t>Monday</t>
        </is>
      </c>
      <c r="E5" s="5" t="n">
        <v>1</v>
      </c>
      <c r="F5" s="4" t="inlineStr">
        <is>
          <t>High</t>
        </is>
      </c>
      <c r="G5" s="4" t="inlineStr">
        <is>
          <t>Pending</t>
        </is>
      </c>
      <c r="H5" s="4" t="inlineStr">
        <is>
          <t>-</t>
        </is>
      </c>
    </row>
    <row r="6">
      <c r="A6" s="2" t="inlineStr">
        <is>
          <t>Gabriela Cader</t>
        </is>
      </c>
      <c r="B6" s="2" t="inlineStr">
        <is>
          <t>Meetings</t>
        </is>
      </c>
      <c r="C6" s="2" t="inlineStr">
        <is>
          <t>Dev sync - Shopping cart implementation</t>
        </is>
      </c>
      <c r="D6" s="2" t="inlineStr">
        <is>
          <t>Tuesday</t>
        </is>
      </c>
      <c r="E6" s="3" t="n">
        <v>1.5</v>
      </c>
      <c r="F6" s="2" t="inlineStr">
        <is>
          <t>High</t>
        </is>
      </c>
      <c r="G6" s="2" t="inlineStr">
        <is>
          <t>Pending</t>
        </is>
      </c>
      <c r="H6" s="2" t="inlineStr">
        <is>
          <t>-</t>
        </is>
      </c>
    </row>
    <row r="7">
      <c r="A7" s="4" t="inlineStr">
        <is>
          <t>Jacqueline Estrada</t>
        </is>
      </c>
      <c r="B7" s="4" t="inlineStr">
        <is>
          <t>FAQ</t>
        </is>
      </c>
      <c r="C7" s="4" t="inlineStr">
        <is>
          <t>Create FAQ for payment configuration</t>
        </is>
      </c>
      <c r="D7" s="4" t="inlineStr">
        <is>
          <t>Tuesday</t>
        </is>
      </c>
      <c r="E7" s="5" t="n">
        <v>1.5</v>
      </c>
      <c r="F7" s="4" t="inlineStr">
        <is>
          <t>Medium</t>
        </is>
      </c>
      <c r="G7" s="4" t="inlineStr">
        <is>
          <t>Pending</t>
        </is>
      </c>
      <c r="H7" s="4" t="inlineStr">
        <is>
          <t>-</t>
        </is>
      </c>
    </row>
  </sheetData>
  <dataValidations count="5">
    <dataValidation sqref="A2:A101" showDropDown="0" showInputMessage="0" showErrorMessage="0" allowBlank="0" type="list">
      <formula1>"Elías Zapata,Gabriela Cader,Jacqueline Estrada"</formula1>
    </dataValidation>
    <dataValidation sqref="B2:B101" showDropDown="0" showInputMessage="0" showErrorMessage="0" allowBlank="0" type="list">
      <formula1>"Ticket Support,Meetings,Incidents,Migration,Academy,QA,Product,FAQ,Demos,Team Support"</formula1>
    </dataValidation>
    <dataValidation sqref="D2:D101" showDropDown="0" showInputMessage="0" showErrorMessage="0" allowBlank="0" type="list">
      <formula1>"Monday,Tuesday,Wednesday,Thursday,Friday"</formula1>
    </dataValidation>
    <dataValidation sqref="F2:F101" showDropDown="0" showInputMessage="0" showErrorMessage="0" allowBlank="0" type="list">
      <formula1>"High,Medium,Low"</formula1>
    </dataValidation>
    <dataValidation sqref="G2:G101" showDropDown="0" showInputMessage="0" showErrorMessage="0" allowBlank="0" type="list">
      <formula1>"Pending,In Progress,Completed"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0" customWidth="1" min="4" max="4"/>
    <col width="14" customWidth="1" min="5" max="5"/>
    <col width="25" customWidth="1" min="6" max="6"/>
  </cols>
  <sheetData>
    <row r="1" ht="20" customHeight="1">
      <c r="A1" s="6" t="inlineStr">
        <is>
          <t>DAILY ACTIVITY - ELÍAS ZAPATA</t>
        </is>
      </c>
    </row>
    <row r="2" ht="20" customHeight="1">
      <c r="A2" s="7" t="inlineStr">
        <is>
          <t>Date</t>
        </is>
      </c>
      <c r="B2" s="7" t="inlineStr">
        <is>
          <t>Task</t>
        </is>
      </c>
      <c r="C2" s="7" t="inlineStr">
        <is>
          <t>Type</t>
        </is>
      </c>
      <c r="D2" s="7" t="inlineStr">
        <is>
          <t>Hours</t>
        </is>
      </c>
      <c r="E2" s="7" t="inlineStr">
        <is>
          <t>Status</t>
        </is>
      </c>
      <c r="F2" s="7" t="inlineStr">
        <is>
          <t>Comments</t>
        </is>
      </c>
    </row>
    <row r="3">
      <c r="A3" s="8" t="n"/>
      <c r="B3" s="2" t="n"/>
      <c r="C3" s="2" t="n"/>
      <c r="D3" s="3" t="n"/>
      <c r="E3" s="2" t="n"/>
      <c r="F3" s="2" t="n"/>
    </row>
    <row r="4">
      <c r="A4" s="9" t="n"/>
      <c r="B4" s="4" t="n"/>
      <c r="C4" s="4" t="n"/>
      <c r="D4" s="5" t="n"/>
      <c r="E4" s="4" t="n"/>
      <c r="F4" s="4" t="n"/>
    </row>
    <row r="5">
      <c r="A5" s="8" t="n"/>
      <c r="B5" s="2" t="n"/>
      <c r="C5" s="2" t="n"/>
      <c r="D5" s="3" t="n"/>
      <c r="E5" s="2" t="n"/>
      <c r="F5" s="2" t="n"/>
    </row>
    <row r="6">
      <c r="A6" s="9" t="n"/>
      <c r="B6" s="4" t="n"/>
      <c r="C6" s="4" t="n"/>
      <c r="D6" s="5" t="n"/>
      <c r="E6" s="4" t="n"/>
      <c r="F6" s="4" t="n"/>
    </row>
    <row r="7">
      <c r="A7" s="8" t="n"/>
      <c r="B7" s="2" t="n"/>
      <c r="C7" s="2" t="n"/>
      <c r="D7" s="3" t="n"/>
      <c r="E7" s="2" t="n"/>
      <c r="F7" s="2" t="n"/>
    </row>
    <row r="8">
      <c r="A8" s="9" t="n"/>
      <c r="B8" s="4" t="n"/>
      <c r="C8" s="4" t="n"/>
      <c r="D8" s="5" t="n"/>
      <c r="E8" s="4" t="n"/>
      <c r="F8" s="4" t="n"/>
    </row>
    <row r="9">
      <c r="A9" s="8" t="n"/>
      <c r="B9" s="2" t="n"/>
      <c r="C9" s="2" t="n"/>
      <c r="D9" s="3" t="n"/>
      <c r="E9" s="2" t="n"/>
      <c r="F9" s="2" t="n"/>
    </row>
    <row r="10">
      <c r="A10" s="9" t="n"/>
      <c r="B10" s="4" t="n"/>
      <c r="C10" s="4" t="n"/>
      <c r="D10" s="5" t="n"/>
      <c r="E10" s="4" t="n"/>
      <c r="F10" s="4" t="n"/>
    </row>
    <row r="11">
      <c r="A11" s="8" t="n"/>
      <c r="B11" s="2" t="n"/>
      <c r="C11" s="2" t="n"/>
      <c r="D11" s="3" t="n"/>
      <c r="E11" s="2" t="n"/>
      <c r="F11" s="2" t="n"/>
    </row>
    <row r="12">
      <c r="A12" s="9" t="n"/>
      <c r="B12" s="4" t="n"/>
      <c r="C12" s="4" t="n"/>
      <c r="D12" s="5" t="n"/>
      <c r="E12" s="4" t="n"/>
      <c r="F12" s="4" t="n"/>
    </row>
    <row r="13">
      <c r="A13" s="8" t="n"/>
      <c r="B13" s="2" t="n"/>
      <c r="C13" s="2" t="n"/>
      <c r="D13" s="3" t="n"/>
      <c r="E13" s="2" t="n"/>
      <c r="F13" s="2" t="n"/>
    </row>
    <row r="14">
      <c r="A14" s="9" t="n"/>
      <c r="B14" s="4" t="n"/>
      <c r="C14" s="4" t="n"/>
      <c r="D14" s="5" t="n"/>
      <c r="E14" s="4" t="n"/>
      <c r="F14" s="4" t="n"/>
    </row>
    <row r="15">
      <c r="A15" s="8" t="n"/>
      <c r="B15" s="2" t="n"/>
      <c r="C15" s="2" t="n"/>
      <c r="D15" s="3" t="n"/>
      <c r="E15" s="2" t="n"/>
      <c r="F15" s="2" t="n"/>
    </row>
    <row r="16">
      <c r="A16" s="9" t="n"/>
      <c r="B16" s="4" t="n"/>
      <c r="C16" s="4" t="n"/>
      <c r="D16" s="5" t="n"/>
      <c r="E16" s="4" t="n"/>
      <c r="F16" s="4" t="n"/>
    </row>
    <row r="17">
      <c r="A17" s="8" t="n"/>
      <c r="B17" s="2" t="n"/>
      <c r="C17" s="2" t="n"/>
      <c r="D17" s="3" t="n"/>
      <c r="E17" s="2" t="n"/>
      <c r="F17" s="2" t="n"/>
    </row>
    <row r="18">
      <c r="A18" s="9" t="n"/>
      <c r="B18" s="4" t="n"/>
      <c r="C18" s="4" t="n"/>
      <c r="D18" s="5" t="n"/>
      <c r="E18" s="4" t="n"/>
      <c r="F18" s="4" t="n"/>
    </row>
    <row r="19">
      <c r="A19" s="8" t="n"/>
      <c r="B19" s="2" t="n"/>
      <c r="C19" s="2" t="n"/>
      <c r="D19" s="3" t="n"/>
      <c r="E19" s="2" t="n"/>
      <c r="F19" s="2" t="n"/>
    </row>
    <row r="20">
      <c r="A20" s="9" t="n"/>
      <c r="B20" s="4" t="n"/>
      <c r="C20" s="4" t="n"/>
      <c r="D20" s="5" t="n"/>
      <c r="E20" s="4" t="n"/>
      <c r="F20" s="4" t="n"/>
    </row>
    <row r="21">
      <c r="A21" s="8" t="n"/>
      <c r="B21" s="2" t="n"/>
      <c r="C21" s="2" t="n"/>
      <c r="D21" s="3" t="n"/>
      <c r="E21" s="2" t="n"/>
      <c r="F21" s="2" t="n"/>
    </row>
    <row r="22">
      <c r="A22" s="9" t="n"/>
      <c r="B22" s="4" t="n"/>
      <c r="C22" s="4" t="n"/>
      <c r="D22" s="5" t="n"/>
      <c r="E22" s="4" t="n"/>
      <c r="F22" s="4" t="n"/>
    </row>
    <row r="23">
      <c r="A23" s="8" t="n"/>
      <c r="B23" s="2" t="n"/>
      <c r="C23" s="2" t="n"/>
      <c r="D23" s="3" t="n"/>
      <c r="E23" s="2" t="n"/>
      <c r="F23" s="2" t="n"/>
    </row>
    <row r="24">
      <c r="A24" s="9" t="n"/>
      <c r="B24" s="4" t="n"/>
      <c r="C24" s="4" t="n"/>
      <c r="D24" s="5" t="n"/>
      <c r="E24" s="4" t="n"/>
      <c r="F24" s="4" t="n"/>
    </row>
    <row r="25">
      <c r="A25" s="8" t="n"/>
      <c r="B25" s="2" t="n"/>
      <c r="C25" s="2" t="n"/>
      <c r="D25" s="3" t="n"/>
      <c r="E25" s="2" t="n"/>
      <c r="F25" s="2" t="n"/>
    </row>
    <row r="26">
      <c r="A26" s="9" t="n"/>
      <c r="B26" s="4" t="n"/>
      <c r="C26" s="4" t="n"/>
      <c r="D26" s="5" t="n"/>
      <c r="E26" s="4" t="n"/>
      <c r="F26" s="4" t="n"/>
    </row>
    <row r="27">
      <c r="A27" s="8" t="n"/>
      <c r="B27" s="2" t="n"/>
      <c r="C27" s="2" t="n"/>
      <c r="D27" s="3" t="n"/>
      <c r="E27" s="2" t="n"/>
      <c r="F27" s="2" t="n"/>
    </row>
    <row r="28">
      <c r="A28" s="9" t="n"/>
      <c r="B28" s="4" t="n"/>
      <c r="C28" s="4" t="n"/>
      <c r="D28" s="5" t="n"/>
      <c r="E28" s="4" t="n"/>
      <c r="F28" s="4" t="n"/>
    </row>
    <row r="29">
      <c r="A29" s="8" t="n"/>
      <c r="B29" s="2" t="n"/>
      <c r="C29" s="2" t="n"/>
      <c r="D29" s="3" t="n"/>
      <c r="E29" s="2" t="n"/>
      <c r="F29" s="2" t="n"/>
    </row>
    <row r="30">
      <c r="A30" s="9" t="n"/>
      <c r="B30" s="4" t="n"/>
      <c r="C30" s="4" t="n"/>
      <c r="D30" s="5" t="n"/>
      <c r="E30" s="4" t="n"/>
      <c r="F30" s="4" t="n"/>
    </row>
    <row r="31">
      <c r="A31" s="8" t="n"/>
      <c r="B31" s="2" t="n"/>
      <c r="C31" s="2" t="n"/>
      <c r="D31" s="3" t="n"/>
      <c r="E31" s="2" t="n"/>
      <c r="F31" s="2" t="n"/>
    </row>
  </sheetData>
  <mergeCells count="1">
    <mergeCell ref="A1:F1"/>
  </mergeCells>
  <dataValidations count="2">
    <dataValidation sqref="C3:C101" showDropDown="0" showInputMessage="0" showErrorMessage="0" allowBlank="0" type="list">
      <formula1>"Ticket,Meeting,Incident,Migration,Academy,QA,Product,FAQ,Demo,Support"</formula1>
    </dataValidation>
    <dataValidation sqref="E3:E101" showDropDown="0" showInputMessage="0" showErrorMessage="0" allowBlank="0" type="list">
      <formula1>"Pending,In Progress,Completed"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0" customWidth="1" min="4" max="4"/>
    <col width="14" customWidth="1" min="5" max="5"/>
    <col width="25" customWidth="1" min="6" max="6"/>
  </cols>
  <sheetData>
    <row r="1" ht="20" customHeight="1">
      <c r="A1" s="6" t="inlineStr">
        <is>
          <t>DAILY ACTIVITY - GABRIELA CADER</t>
        </is>
      </c>
    </row>
    <row r="2" ht="20" customHeight="1">
      <c r="A2" s="7" t="inlineStr">
        <is>
          <t>Date</t>
        </is>
      </c>
      <c r="B2" s="7" t="inlineStr">
        <is>
          <t>Task</t>
        </is>
      </c>
      <c r="C2" s="7" t="inlineStr">
        <is>
          <t>Type</t>
        </is>
      </c>
      <c r="D2" s="7" t="inlineStr">
        <is>
          <t>Hours</t>
        </is>
      </c>
      <c r="E2" s="7" t="inlineStr">
        <is>
          <t>Status</t>
        </is>
      </c>
      <c r="F2" s="7" t="inlineStr">
        <is>
          <t>Comments</t>
        </is>
      </c>
    </row>
    <row r="3">
      <c r="A3" s="8" t="n"/>
      <c r="B3" s="2" t="n"/>
      <c r="C3" s="2" t="n"/>
      <c r="D3" s="3" t="n"/>
      <c r="E3" s="2" t="n"/>
      <c r="F3" s="2" t="n"/>
    </row>
    <row r="4">
      <c r="A4" s="9" t="n"/>
      <c r="B4" s="4" t="n"/>
      <c r="C4" s="4" t="n"/>
      <c r="D4" s="5" t="n"/>
      <c r="E4" s="4" t="n"/>
      <c r="F4" s="4" t="n"/>
    </row>
    <row r="5">
      <c r="A5" s="8" t="n"/>
      <c r="B5" s="2" t="n"/>
      <c r="C5" s="2" t="n"/>
      <c r="D5" s="3" t="n"/>
      <c r="E5" s="2" t="n"/>
      <c r="F5" s="2" t="n"/>
    </row>
    <row r="6">
      <c r="A6" s="9" t="n"/>
      <c r="B6" s="4" t="n"/>
      <c r="C6" s="4" t="n"/>
      <c r="D6" s="5" t="n"/>
      <c r="E6" s="4" t="n"/>
      <c r="F6" s="4" t="n"/>
    </row>
    <row r="7">
      <c r="A7" s="8" t="n"/>
      <c r="B7" s="2" t="n"/>
      <c r="C7" s="2" t="n"/>
      <c r="D7" s="3" t="n"/>
      <c r="E7" s="2" t="n"/>
      <c r="F7" s="2" t="n"/>
    </row>
    <row r="8">
      <c r="A8" s="9" t="n"/>
      <c r="B8" s="4" t="n"/>
      <c r="C8" s="4" t="n"/>
      <c r="D8" s="5" t="n"/>
      <c r="E8" s="4" t="n"/>
      <c r="F8" s="4" t="n"/>
    </row>
    <row r="9">
      <c r="A9" s="8" t="n"/>
      <c r="B9" s="2" t="n"/>
      <c r="C9" s="2" t="n"/>
      <c r="D9" s="3" t="n"/>
      <c r="E9" s="2" t="n"/>
      <c r="F9" s="2" t="n"/>
    </row>
    <row r="10">
      <c r="A10" s="9" t="n"/>
      <c r="B10" s="4" t="n"/>
      <c r="C10" s="4" t="n"/>
      <c r="D10" s="5" t="n"/>
      <c r="E10" s="4" t="n"/>
      <c r="F10" s="4" t="n"/>
    </row>
    <row r="11">
      <c r="A11" s="8" t="n"/>
      <c r="B11" s="2" t="n"/>
      <c r="C11" s="2" t="n"/>
      <c r="D11" s="3" t="n"/>
      <c r="E11" s="2" t="n"/>
      <c r="F11" s="2" t="n"/>
    </row>
    <row r="12">
      <c r="A12" s="9" t="n"/>
      <c r="B12" s="4" t="n"/>
      <c r="C12" s="4" t="n"/>
      <c r="D12" s="5" t="n"/>
      <c r="E12" s="4" t="n"/>
      <c r="F12" s="4" t="n"/>
    </row>
    <row r="13">
      <c r="A13" s="8" t="n"/>
      <c r="B13" s="2" t="n"/>
      <c r="C13" s="2" t="n"/>
      <c r="D13" s="3" t="n"/>
      <c r="E13" s="2" t="n"/>
      <c r="F13" s="2" t="n"/>
    </row>
    <row r="14">
      <c r="A14" s="9" t="n"/>
      <c r="B14" s="4" t="n"/>
      <c r="C14" s="4" t="n"/>
      <c r="D14" s="5" t="n"/>
      <c r="E14" s="4" t="n"/>
      <c r="F14" s="4" t="n"/>
    </row>
    <row r="15">
      <c r="A15" s="8" t="n"/>
      <c r="B15" s="2" t="n"/>
      <c r="C15" s="2" t="n"/>
      <c r="D15" s="3" t="n"/>
      <c r="E15" s="2" t="n"/>
      <c r="F15" s="2" t="n"/>
    </row>
    <row r="16">
      <c r="A16" s="9" t="n"/>
      <c r="B16" s="4" t="n"/>
      <c r="C16" s="4" t="n"/>
      <c r="D16" s="5" t="n"/>
      <c r="E16" s="4" t="n"/>
      <c r="F16" s="4" t="n"/>
    </row>
    <row r="17">
      <c r="A17" s="8" t="n"/>
      <c r="B17" s="2" t="n"/>
      <c r="C17" s="2" t="n"/>
      <c r="D17" s="3" t="n"/>
      <c r="E17" s="2" t="n"/>
      <c r="F17" s="2" t="n"/>
    </row>
    <row r="18">
      <c r="A18" s="9" t="n"/>
      <c r="B18" s="4" t="n"/>
      <c r="C18" s="4" t="n"/>
      <c r="D18" s="5" t="n"/>
      <c r="E18" s="4" t="n"/>
      <c r="F18" s="4" t="n"/>
    </row>
    <row r="19">
      <c r="A19" s="8" t="n"/>
      <c r="B19" s="2" t="n"/>
      <c r="C19" s="2" t="n"/>
      <c r="D19" s="3" t="n"/>
      <c r="E19" s="2" t="n"/>
      <c r="F19" s="2" t="n"/>
    </row>
    <row r="20">
      <c r="A20" s="9" t="n"/>
      <c r="B20" s="4" t="n"/>
      <c r="C20" s="4" t="n"/>
      <c r="D20" s="5" t="n"/>
      <c r="E20" s="4" t="n"/>
      <c r="F20" s="4" t="n"/>
    </row>
    <row r="21">
      <c r="A21" s="8" t="n"/>
      <c r="B21" s="2" t="n"/>
      <c r="C21" s="2" t="n"/>
      <c r="D21" s="3" t="n"/>
      <c r="E21" s="2" t="n"/>
      <c r="F21" s="2" t="n"/>
    </row>
    <row r="22">
      <c r="A22" s="9" t="n"/>
      <c r="B22" s="4" t="n"/>
      <c r="C22" s="4" t="n"/>
      <c r="D22" s="5" t="n"/>
      <c r="E22" s="4" t="n"/>
      <c r="F22" s="4" t="n"/>
    </row>
    <row r="23">
      <c r="A23" s="8" t="n"/>
      <c r="B23" s="2" t="n"/>
      <c r="C23" s="2" t="n"/>
      <c r="D23" s="3" t="n"/>
      <c r="E23" s="2" t="n"/>
      <c r="F23" s="2" t="n"/>
    </row>
    <row r="24">
      <c r="A24" s="9" t="n"/>
      <c r="B24" s="4" t="n"/>
      <c r="C24" s="4" t="n"/>
      <c r="D24" s="5" t="n"/>
      <c r="E24" s="4" t="n"/>
      <c r="F24" s="4" t="n"/>
    </row>
    <row r="25">
      <c r="A25" s="8" t="n"/>
      <c r="B25" s="2" t="n"/>
      <c r="C25" s="2" t="n"/>
      <c r="D25" s="3" t="n"/>
      <c r="E25" s="2" t="n"/>
      <c r="F25" s="2" t="n"/>
    </row>
    <row r="26">
      <c r="A26" s="9" t="n"/>
      <c r="B26" s="4" t="n"/>
      <c r="C26" s="4" t="n"/>
      <c r="D26" s="5" t="n"/>
      <c r="E26" s="4" t="n"/>
      <c r="F26" s="4" t="n"/>
    </row>
    <row r="27">
      <c r="A27" s="8" t="n"/>
      <c r="B27" s="2" t="n"/>
      <c r="C27" s="2" t="n"/>
      <c r="D27" s="3" t="n"/>
      <c r="E27" s="2" t="n"/>
      <c r="F27" s="2" t="n"/>
    </row>
    <row r="28">
      <c r="A28" s="9" t="n"/>
      <c r="B28" s="4" t="n"/>
      <c r="C28" s="4" t="n"/>
      <c r="D28" s="5" t="n"/>
      <c r="E28" s="4" t="n"/>
      <c r="F28" s="4" t="n"/>
    </row>
    <row r="29">
      <c r="A29" s="8" t="n"/>
      <c r="B29" s="2" t="n"/>
      <c r="C29" s="2" t="n"/>
      <c r="D29" s="3" t="n"/>
      <c r="E29" s="2" t="n"/>
      <c r="F29" s="2" t="n"/>
    </row>
    <row r="30">
      <c r="A30" s="9" t="n"/>
      <c r="B30" s="4" t="n"/>
      <c r="C30" s="4" t="n"/>
      <c r="D30" s="5" t="n"/>
      <c r="E30" s="4" t="n"/>
      <c r="F30" s="4" t="n"/>
    </row>
    <row r="31">
      <c r="A31" s="8" t="n"/>
      <c r="B31" s="2" t="n"/>
      <c r="C31" s="2" t="n"/>
      <c r="D31" s="3" t="n"/>
      <c r="E31" s="2" t="n"/>
      <c r="F31" s="2" t="n"/>
    </row>
  </sheetData>
  <mergeCells count="1">
    <mergeCell ref="A1:F1"/>
  </mergeCells>
  <dataValidations count="2">
    <dataValidation sqref="C3:C101" showDropDown="0" showInputMessage="0" showErrorMessage="0" allowBlank="0" type="list">
      <formula1>"Ticket,Meeting,Incident,Migration,Academy,QA,Product,FAQ,Demo,Support"</formula1>
    </dataValidation>
    <dataValidation sqref="E3:E101" showDropDown="0" showInputMessage="0" showErrorMessage="0" allowBlank="0" type="list">
      <formula1>"Pending,In Progress,Completed"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0" customWidth="1" min="4" max="4"/>
    <col width="14" customWidth="1" min="5" max="5"/>
    <col width="25" customWidth="1" min="6" max="6"/>
  </cols>
  <sheetData>
    <row r="1" ht="20" customHeight="1">
      <c r="A1" s="6" t="inlineStr">
        <is>
          <t>DAILY ACTIVITY - JACQUELINE ESTRADA</t>
        </is>
      </c>
    </row>
    <row r="2" ht="20" customHeight="1">
      <c r="A2" s="7" t="inlineStr">
        <is>
          <t>Date</t>
        </is>
      </c>
      <c r="B2" s="7" t="inlineStr">
        <is>
          <t>Task</t>
        </is>
      </c>
      <c r="C2" s="7" t="inlineStr">
        <is>
          <t>Type</t>
        </is>
      </c>
      <c r="D2" s="7" t="inlineStr">
        <is>
          <t>Hours</t>
        </is>
      </c>
      <c r="E2" s="7" t="inlineStr">
        <is>
          <t>Status</t>
        </is>
      </c>
      <c r="F2" s="7" t="inlineStr">
        <is>
          <t>Comments</t>
        </is>
      </c>
    </row>
    <row r="3">
      <c r="A3" s="8" t="n"/>
      <c r="B3" s="2" t="n"/>
      <c r="C3" s="2" t="n"/>
      <c r="D3" s="3" t="n"/>
      <c r="E3" s="2" t="n"/>
      <c r="F3" s="2" t="n"/>
    </row>
    <row r="4">
      <c r="A4" s="9" t="n"/>
      <c r="B4" s="4" t="n"/>
      <c r="C4" s="4" t="n"/>
      <c r="D4" s="5" t="n"/>
      <c r="E4" s="4" t="n"/>
      <c r="F4" s="4" t="n"/>
    </row>
    <row r="5">
      <c r="A5" s="8" t="n"/>
      <c r="B5" s="2" t="n"/>
      <c r="C5" s="2" t="n"/>
      <c r="D5" s="3" t="n"/>
      <c r="E5" s="2" t="n"/>
      <c r="F5" s="2" t="n"/>
    </row>
    <row r="6">
      <c r="A6" s="9" t="n"/>
      <c r="B6" s="4" t="n"/>
      <c r="C6" s="4" t="n"/>
      <c r="D6" s="5" t="n"/>
      <c r="E6" s="4" t="n"/>
      <c r="F6" s="4" t="n"/>
    </row>
    <row r="7">
      <c r="A7" s="8" t="n"/>
      <c r="B7" s="2" t="n"/>
      <c r="C7" s="2" t="n"/>
      <c r="D7" s="3" t="n"/>
      <c r="E7" s="2" t="n"/>
      <c r="F7" s="2" t="n"/>
    </row>
    <row r="8">
      <c r="A8" s="9" t="n"/>
      <c r="B8" s="4" t="n"/>
      <c r="C8" s="4" t="n"/>
      <c r="D8" s="5" t="n"/>
      <c r="E8" s="4" t="n"/>
      <c r="F8" s="4" t="n"/>
    </row>
    <row r="9">
      <c r="A9" s="8" t="n"/>
      <c r="B9" s="2" t="n"/>
      <c r="C9" s="2" t="n"/>
      <c r="D9" s="3" t="n"/>
      <c r="E9" s="2" t="n"/>
      <c r="F9" s="2" t="n"/>
    </row>
    <row r="10">
      <c r="A10" s="9" t="n"/>
      <c r="B10" s="4" t="n"/>
      <c r="C10" s="4" t="n"/>
      <c r="D10" s="5" t="n"/>
      <c r="E10" s="4" t="n"/>
      <c r="F10" s="4" t="n"/>
    </row>
    <row r="11">
      <c r="A11" s="8" t="n"/>
      <c r="B11" s="2" t="n"/>
      <c r="C11" s="2" t="n"/>
      <c r="D11" s="3" t="n"/>
      <c r="E11" s="2" t="n"/>
      <c r="F11" s="2" t="n"/>
    </row>
    <row r="12">
      <c r="A12" s="9" t="n"/>
      <c r="B12" s="4" t="n"/>
      <c r="C12" s="4" t="n"/>
      <c r="D12" s="5" t="n"/>
      <c r="E12" s="4" t="n"/>
      <c r="F12" s="4" t="n"/>
    </row>
    <row r="13">
      <c r="A13" s="8" t="n"/>
      <c r="B13" s="2" t="n"/>
      <c r="C13" s="2" t="n"/>
      <c r="D13" s="3" t="n"/>
      <c r="E13" s="2" t="n"/>
      <c r="F13" s="2" t="n"/>
    </row>
    <row r="14">
      <c r="A14" s="9" t="n"/>
      <c r="B14" s="4" t="n"/>
      <c r="C14" s="4" t="n"/>
      <c r="D14" s="5" t="n"/>
      <c r="E14" s="4" t="n"/>
      <c r="F14" s="4" t="n"/>
    </row>
    <row r="15">
      <c r="A15" s="8" t="n"/>
      <c r="B15" s="2" t="n"/>
      <c r="C15" s="2" t="n"/>
      <c r="D15" s="3" t="n"/>
      <c r="E15" s="2" t="n"/>
      <c r="F15" s="2" t="n"/>
    </row>
    <row r="16">
      <c r="A16" s="9" t="n"/>
      <c r="B16" s="4" t="n"/>
      <c r="C16" s="4" t="n"/>
      <c r="D16" s="5" t="n"/>
      <c r="E16" s="4" t="n"/>
      <c r="F16" s="4" t="n"/>
    </row>
    <row r="17">
      <c r="A17" s="8" t="n"/>
      <c r="B17" s="2" t="n"/>
      <c r="C17" s="2" t="n"/>
      <c r="D17" s="3" t="n"/>
      <c r="E17" s="2" t="n"/>
      <c r="F17" s="2" t="n"/>
    </row>
    <row r="18">
      <c r="A18" s="9" t="n"/>
      <c r="B18" s="4" t="n"/>
      <c r="C18" s="4" t="n"/>
      <c r="D18" s="5" t="n"/>
      <c r="E18" s="4" t="n"/>
      <c r="F18" s="4" t="n"/>
    </row>
    <row r="19">
      <c r="A19" s="8" t="n"/>
      <c r="B19" s="2" t="n"/>
      <c r="C19" s="2" t="n"/>
      <c r="D19" s="3" t="n"/>
      <c r="E19" s="2" t="n"/>
      <c r="F19" s="2" t="n"/>
    </row>
    <row r="20">
      <c r="A20" s="9" t="n"/>
      <c r="B20" s="4" t="n"/>
      <c r="C20" s="4" t="n"/>
      <c r="D20" s="5" t="n"/>
      <c r="E20" s="4" t="n"/>
      <c r="F20" s="4" t="n"/>
    </row>
    <row r="21">
      <c r="A21" s="8" t="n"/>
      <c r="B21" s="2" t="n"/>
      <c r="C21" s="2" t="n"/>
      <c r="D21" s="3" t="n"/>
      <c r="E21" s="2" t="n"/>
      <c r="F21" s="2" t="n"/>
    </row>
    <row r="22">
      <c r="A22" s="9" t="n"/>
      <c r="B22" s="4" t="n"/>
      <c r="C22" s="4" t="n"/>
      <c r="D22" s="5" t="n"/>
      <c r="E22" s="4" t="n"/>
      <c r="F22" s="4" t="n"/>
    </row>
    <row r="23">
      <c r="A23" s="8" t="n"/>
      <c r="B23" s="2" t="n"/>
      <c r="C23" s="2" t="n"/>
      <c r="D23" s="3" t="n"/>
      <c r="E23" s="2" t="n"/>
      <c r="F23" s="2" t="n"/>
    </row>
    <row r="24">
      <c r="A24" s="9" t="n"/>
      <c r="B24" s="4" t="n"/>
      <c r="C24" s="4" t="n"/>
      <c r="D24" s="5" t="n"/>
      <c r="E24" s="4" t="n"/>
      <c r="F24" s="4" t="n"/>
    </row>
    <row r="25">
      <c r="A25" s="8" t="n"/>
      <c r="B25" s="2" t="n"/>
      <c r="C25" s="2" t="n"/>
      <c r="D25" s="3" t="n"/>
      <c r="E25" s="2" t="n"/>
      <c r="F25" s="2" t="n"/>
    </row>
    <row r="26">
      <c r="A26" s="9" t="n"/>
      <c r="B26" s="4" t="n"/>
      <c r="C26" s="4" t="n"/>
      <c r="D26" s="5" t="n"/>
      <c r="E26" s="4" t="n"/>
      <c r="F26" s="4" t="n"/>
    </row>
    <row r="27">
      <c r="A27" s="8" t="n"/>
      <c r="B27" s="2" t="n"/>
      <c r="C27" s="2" t="n"/>
      <c r="D27" s="3" t="n"/>
      <c r="E27" s="2" t="n"/>
      <c r="F27" s="2" t="n"/>
    </row>
    <row r="28">
      <c r="A28" s="9" t="n"/>
      <c r="B28" s="4" t="n"/>
      <c r="C28" s="4" t="n"/>
      <c r="D28" s="5" t="n"/>
      <c r="E28" s="4" t="n"/>
      <c r="F28" s="4" t="n"/>
    </row>
    <row r="29">
      <c r="A29" s="8" t="n"/>
      <c r="B29" s="2" t="n"/>
      <c r="C29" s="2" t="n"/>
      <c r="D29" s="3" t="n"/>
      <c r="E29" s="2" t="n"/>
      <c r="F29" s="2" t="n"/>
    </row>
    <row r="30">
      <c r="A30" s="9" t="n"/>
      <c r="B30" s="4" t="n"/>
      <c r="C30" s="4" t="n"/>
      <c r="D30" s="5" t="n"/>
      <c r="E30" s="4" t="n"/>
      <c r="F30" s="4" t="n"/>
    </row>
    <row r="31">
      <c r="A31" s="8" t="n"/>
      <c r="B31" s="2" t="n"/>
      <c r="C31" s="2" t="n"/>
      <c r="D31" s="3" t="n"/>
      <c r="E31" s="2" t="n"/>
      <c r="F31" s="2" t="n"/>
    </row>
  </sheetData>
  <mergeCells count="1">
    <mergeCell ref="A1:F1"/>
  </mergeCells>
  <dataValidations count="2">
    <dataValidation sqref="C3:C101" showDropDown="0" showInputMessage="0" showErrorMessage="0" allowBlank="0" type="list">
      <formula1>"Ticket,Meeting,Incident,Migration,Academy,QA,Product,FAQ,Demo,Support"</formula1>
    </dataValidation>
    <dataValidation sqref="E3:E101" showDropDown="0" showInputMessage="0" showErrorMessage="0" allowBlank="0" type="list">
      <formula1>"Pending,In Progress,Completed"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 ht="25" customHeight="1">
      <c r="A1" s="10" t="inlineStr">
        <is>
          <t>WEEKLY DASHBOARD</t>
        </is>
      </c>
    </row>
    <row r="2">
      <c r="A2" s="11" t="inlineStr"/>
    </row>
    <row r="3">
      <c r="A3" s="12" t="inlineStr">
        <is>
          <t>SUMMARY METRICS</t>
        </is>
      </c>
    </row>
    <row r="4">
      <c r="A4" s="11" t="inlineStr">
        <is>
          <t>Total Tasks Planned</t>
        </is>
      </c>
      <c r="B4" s="13">
        <f>COUNTA('Weekly Plan'!A2:A101)</f>
        <v/>
      </c>
    </row>
    <row r="5">
      <c r="A5" s="11" t="inlineStr">
        <is>
          <t>Tasks Completed</t>
        </is>
      </c>
      <c r="B5" s="13">
        <f>COUNTIF('Weekly Plan'!G2:G101,"Completed")</f>
        <v/>
      </c>
    </row>
    <row r="6">
      <c r="A6" s="11" t="inlineStr">
        <is>
          <t>Tasks In Progress</t>
        </is>
      </c>
      <c r="B6" s="13">
        <f>COUNTIF('Weekly Plan'!G2:G101,"In Progress")</f>
        <v/>
      </c>
    </row>
    <row r="7">
      <c r="A7" s="11" t="inlineStr">
        <is>
          <t>Completion Rate %</t>
        </is>
      </c>
      <c r="B7" s="14">
        <f>IF(C3&gt;0,ROUND((C4/C3)*100,1),0)</f>
        <v/>
      </c>
    </row>
    <row r="8">
      <c r="A8" s="11" t="inlineStr"/>
    </row>
    <row r="9">
      <c r="A9" s="12" t="inlineStr">
        <is>
          <t>TOTAL HOURS</t>
        </is>
      </c>
    </row>
    <row r="10">
      <c r="A10" s="11" t="inlineStr">
        <is>
          <t>Hours Planned</t>
        </is>
      </c>
      <c r="B10" s="15">
        <f>SUM('Weekly Plan'!E2:E101)</f>
        <v/>
      </c>
    </row>
    <row r="11">
      <c r="A11" s="11" t="inlineStr">
        <is>
          <t>Hours Logged</t>
        </is>
      </c>
      <c r="B11" s="15">
        <f>SUM('Elías Zapata'!D3:D101)+SUM('Gabriela Cader'!D3:D101)+SUM('Jacqueline Estrada'!D3:D101)</f>
        <v/>
      </c>
    </row>
    <row r="12">
      <c r="A12" s="11" t="inlineStr"/>
    </row>
    <row r="13">
      <c r="A13" s="12" t="inlineStr">
        <is>
          <t>BY PRIORITY</t>
        </is>
      </c>
    </row>
    <row r="14">
      <c r="A14" s="11" t="inlineStr">
        <is>
          <t>High Priority Tasks</t>
        </is>
      </c>
      <c r="B14" s="13">
        <f>COUNTIF('Weekly Plan'!F2:F101,"High")</f>
        <v/>
      </c>
    </row>
    <row r="15">
      <c r="A15" s="11" t="inlineStr">
        <is>
          <t>Medium Priority Tasks</t>
        </is>
      </c>
      <c r="B15" s="13">
        <f>COUNTIF('Weekly Plan'!F2:F101,"Medium")</f>
        <v/>
      </c>
    </row>
    <row r="16">
      <c r="A16" s="11" t="inlineStr">
        <is>
          <t>Low Priority Tasks</t>
        </is>
      </c>
      <c r="B16" s="13">
        <f>COUNTIF('Weekly Plan'!F2:F101,"Low")</f>
        <v/>
      </c>
    </row>
    <row r="17">
      <c r="A17" s="11" t="inlineStr"/>
    </row>
    <row r="18">
      <c r="A18" s="12" t="inlineStr">
        <is>
          <t>TEAM PERFORMANCE</t>
        </is>
      </c>
    </row>
    <row r="19">
      <c r="A19" s="11" t="inlineStr">
        <is>
          <t>Elías Zapata - Total Tasks</t>
        </is>
      </c>
      <c r="B19" s="13">
        <f>COUNTIF('Weekly Plan'!A2:A101,"Elías Zapata")</f>
        <v/>
      </c>
    </row>
    <row r="20">
      <c r="A20" s="11" t="inlineStr">
        <is>
          <t>Elías Zapata - Completed</t>
        </is>
      </c>
      <c r="B20" s="13">
        <f>COUNTIFS('Weekly Plan'!A2:A101,"Elías Zapata",'Weekly Plan'!G2:G101,"Completed")</f>
        <v/>
      </c>
    </row>
    <row r="21">
      <c r="A21" s="11" t="inlineStr">
        <is>
          <t>Elías Zapata - Hours</t>
        </is>
      </c>
      <c r="B21" s="15">
        <f>SUMIF('Weekly Plan'!A2:A101,"Elías Zapata",'Weekly Plan'!E2:E101)</f>
        <v/>
      </c>
    </row>
    <row r="22">
      <c r="A22" s="11" t="inlineStr"/>
    </row>
    <row r="23">
      <c r="A23" s="11" t="inlineStr">
        <is>
          <t>Gabriela Cader - Total Tasks</t>
        </is>
      </c>
      <c r="B23" s="13">
        <f>COUNTIF('Weekly Plan'!A2:A101,"Gabriela Cader")</f>
        <v/>
      </c>
    </row>
    <row r="24">
      <c r="A24" s="11" t="inlineStr">
        <is>
          <t>Gabriela Cader - Completed</t>
        </is>
      </c>
      <c r="B24" s="13">
        <f>COUNTIFS('Weekly Plan'!A2:A101,"Gabriela Cader",'Weekly Plan'!G2:G101,"Completed")</f>
        <v/>
      </c>
    </row>
    <row r="25">
      <c r="A25" s="11" t="inlineStr">
        <is>
          <t>Gabriela Cader - Hours</t>
        </is>
      </c>
      <c r="B25" s="15">
        <f>SUMIF('Weekly Plan'!A2:A101,"Gabriela Cader",'Weekly Plan'!E2:E101)</f>
        <v/>
      </c>
    </row>
    <row r="26">
      <c r="A26" s="11" t="inlineStr"/>
    </row>
    <row r="27">
      <c r="A27" s="11" t="inlineStr">
        <is>
          <t>Jacqueline Estrada - Total Tasks</t>
        </is>
      </c>
      <c r="B27" s="13">
        <f>COUNTIF('Weekly Plan'!A2:A101,"Jacqueline Estrada")</f>
        <v/>
      </c>
    </row>
    <row r="28">
      <c r="A28" s="11" t="inlineStr">
        <is>
          <t>Jacqueline Estrada - Completed</t>
        </is>
      </c>
      <c r="B28" s="13">
        <f>COUNTIFS('Weekly Plan'!A2:A101,"Jacqueline Estrada",'Weekly Plan'!G2:G101,"Completed")</f>
        <v/>
      </c>
    </row>
    <row r="29">
      <c r="A29" s="11" t="inlineStr">
        <is>
          <t>Jacqueline Estrada - Hours</t>
        </is>
      </c>
      <c r="B29" s="15">
        <f>SUMIF('Weekly Plan'!A2:A101,"Jacqueline Estrada",'Weekly Plan'!E2:E101)</f>
        <v/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 ht="18" customHeight="1">
      <c r="A1" s="16" t="inlineStr">
        <is>
          <t>CS TEAM TRACKER - USER GUIDE</t>
        </is>
      </c>
    </row>
    <row r="2" ht="18" customHeight="1">
      <c r="A2" s="16" t="inlineStr"/>
    </row>
    <row r="3" ht="18" customHeight="1">
      <c r="A3" s="17" t="inlineStr">
        <is>
          <t>COORDINADOR / MANAGER</t>
        </is>
      </c>
    </row>
    <row r="4" ht="18" customHeight="1">
      <c r="A4" s="18" t="inlineStr">
        <is>
          <t>1. Fill "Weekly Plan" sheet at Friday EOD</t>
        </is>
      </c>
    </row>
    <row r="5" ht="18" customHeight="1">
      <c r="A5" s="16" t="inlineStr">
        <is>
          <t xml:space="preserve">   - Add all tasks for next week</t>
        </is>
      </c>
    </row>
    <row r="6" ht="18" customHeight="1">
      <c r="A6" s="16" t="inlineStr">
        <is>
          <t xml:space="preserve">   - Fill: Agent, Type, Description, Day, Hours, Priority, Status</t>
        </is>
      </c>
    </row>
    <row r="7" ht="18" customHeight="1">
      <c r="A7" s="16" t="inlineStr">
        <is>
          <t xml:space="preserve">   - Use dropdown lists for Agent, Type, Day, Priority, Status</t>
        </is>
      </c>
    </row>
    <row r="8" ht="18" customHeight="1">
      <c r="A8" s="16" t="inlineStr"/>
    </row>
    <row r="9" ht="18" customHeight="1">
      <c r="A9" s="18" t="inlineStr">
        <is>
          <t>2. Monitor progress daily</t>
        </is>
      </c>
    </row>
    <row r="10" ht="18" customHeight="1">
      <c r="A10" s="16" t="inlineStr">
        <is>
          <t xml:space="preserve">   - Check "Dashboard" sheet for real-time metrics</t>
        </is>
      </c>
    </row>
    <row r="11" ht="18" customHeight="1">
      <c r="A11" s="16" t="inlineStr">
        <is>
          <t xml:space="preserve">   - See completion % and hours logged</t>
        </is>
      </c>
    </row>
    <row r="12" ht="18" customHeight="1">
      <c r="A12" s="16" t="inlineStr">
        <is>
          <t xml:space="preserve">   - Check individual agent progress</t>
        </is>
      </c>
    </row>
    <row r="13" ht="18" customHeight="1">
      <c r="A13" s="16" t="inlineStr"/>
    </row>
    <row r="14" ht="18" customHeight="1">
      <c r="A14" s="18" t="inlineStr">
        <is>
          <t>3. Create reports</t>
        </is>
      </c>
    </row>
    <row r="15" ht="18" customHeight="1">
      <c r="A15" s="16" t="inlineStr">
        <is>
          <t xml:space="preserve">   - Screenshot Dashboard metrics on Thursday 5 PM</t>
        </is>
      </c>
    </row>
    <row r="16" ht="18" customHeight="1">
      <c r="A16" s="16" t="inlineStr">
        <is>
          <t xml:space="preserve">   - Share with team in Teams</t>
        </is>
      </c>
    </row>
    <row r="17" ht="18" customHeight="1">
      <c r="A17" s="16" t="inlineStr"/>
    </row>
    <row r="18" ht="18" customHeight="1">
      <c r="A18" s="17" t="inlineStr">
        <is>
          <t>AGENTS (Elías, Gabriela, Jacqueline)</t>
        </is>
      </c>
    </row>
    <row r="19" ht="18" customHeight="1">
      <c r="A19" s="18" t="inlineStr">
        <is>
          <t>1. Open your personal sheet daily</t>
        </is>
      </c>
    </row>
    <row r="20" ht="18" customHeight="1">
      <c r="A20" s="16" t="inlineStr">
        <is>
          <t xml:space="preserve">   - Click on your name tab (Elías Zapata / Gabriela Cader / Jacqueline Estrada)</t>
        </is>
      </c>
    </row>
    <row r="21" ht="18" customHeight="1">
      <c r="A21" s="16" t="inlineStr"/>
    </row>
    <row r="22" ht="18" customHeight="1">
      <c r="A22" s="18" t="inlineStr">
        <is>
          <t>2. Fill your daily activity</t>
        </is>
      </c>
    </row>
    <row r="23" ht="18" customHeight="1">
      <c r="A23" s="16" t="inlineStr">
        <is>
          <t xml:space="preserve">   - Date: Today date</t>
        </is>
      </c>
    </row>
    <row r="24" ht="18" customHeight="1">
      <c r="A24" s="16" t="inlineStr">
        <is>
          <t xml:space="preserve">   - Task: What you worked on</t>
        </is>
      </c>
    </row>
    <row r="25" ht="18" customHeight="1">
      <c r="A25" s="16" t="inlineStr">
        <is>
          <t xml:space="preserve">   - Type: Task type (dropdown)</t>
        </is>
      </c>
    </row>
    <row r="26" ht="18" customHeight="1">
      <c r="A26" s="16" t="inlineStr">
        <is>
          <t xml:space="preserve">   - Hours: How many hours worked</t>
        </is>
      </c>
    </row>
    <row r="27" ht="18" customHeight="1">
      <c r="A27" s="16" t="inlineStr">
        <is>
          <t xml:space="preserve">   - Status: Pending / In Progress / Completed</t>
        </is>
      </c>
    </row>
    <row r="28" ht="18" customHeight="1">
      <c r="A28" s="16" t="inlineStr">
        <is>
          <t xml:space="preserve">   - Comments: Any blockers or notes</t>
        </is>
      </c>
    </row>
    <row r="29" ht="18" customHeight="1">
      <c r="A29" s="16" t="inlineStr"/>
    </row>
    <row r="30" ht="18" customHeight="1">
      <c r="A30" s="18" t="inlineStr">
        <is>
          <t>3. Save regularly (Ctrl+S)</t>
        </is>
      </c>
    </row>
    <row r="31" ht="18" customHeight="1">
      <c r="A31" s="16" t="inlineStr">
        <is>
          <t xml:space="preserve">   - Changes are automatically synced to SharePoint</t>
        </is>
      </c>
    </row>
    <row r="32" ht="18" customHeight="1">
      <c r="A32" s="16" t="inlineStr"/>
    </row>
    <row r="33" ht="18" customHeight="1">
      <c r="A33" s="17" t="inlineStr">
        <is>
          <t>DASHBOARD</t>
        </is>
      </c>
    </row>
    <row r="34" ht="18" customHeight="1">
      <c r="A34" s="18" t="inlineStr">
        <is>
          <t>- Total Tasks: All planned tasks for this week</t>
        </is>
      </c>
    </row>
    <row r="35" ht="18" customHeight="1">
      <c r="A35" s="18" t="inlineStr">
        <is>
          <t>- Tasks Completed: Completed tasks count</t>
        </is>
      </c>
    </row>
    <row r="36" ht="18" customHeight="1">
      <c r="A36" s="18" t="inlineStr">
        <is>
          <t>- Completion Rate: % of completed tasks</t>
        </is>
      </c>
    </row>
    <row r="37" ht="18" customHeight="1">
      <c r="A37" s="18" t="inlineStr">
        <is>
          <t>- Team Performance: Individual progress by agent</t>
        </is>
      </c>
    </row>
    <row r="38" ht="18" customHeight="1">
      <c r="A38" s="18" t="inlineStr">
        <is>
          <t>- All metrics update automatically as you fill sheets</t>
        </is>
      </c>
    </row>
    <row r="39" ht="18" customHeight="1">
      <c r="A39" s="16" t="inlineStr"/>
    </row>
    <row r="40" ht="18" customHeight="1">
      <c r="A40" s="17" t="inlineStr">
        <is>
          <t>TIPS</t>
        </is>
      </c>
    </row>
    <row r="41" ht="18" customHeight="1">
      <c r="A41" s="18" t="inlineStr">
        <is>
          <t>✓ Use dropdown lists (Agent, Type, Day, Priority, Status)</t>
        </is>
      </c>
    </row>
    <row r="42" ht="18" customHeight="1">
      <c r="A42" s="18" t="inlineStr">
        <is>
          <t>✓ Don't delete headers row</t>
        </is>
      </c>
    </row>
    <row r="43" ht="18" customHeight="1">
      <c r="A43" s="18" t="inlineStr">
        <is>
          <t>✓ Save often (Ctrl+S)</t>
        </is>
      </c>
    </row>
    <row r="44" ht="18" customHeight="1">
      <c r="A44" s="18" t="inlineStr">
        <is>
          <t>✓ Check Dashboard daily for progress</t>
        </is>
      </c>
    </row>
    <row r="45" ht="18" customHeight="1">
      <c r="A45" s="18" t="inlineStr">
        <is>
          <t>✓ Add comments for blockers or issues</t>
        </is>
      </c>
    </row>
    <row r="46" ht="18" customHeight="1">
      <c r="A46" s="18" t="inlineStr">
        <is>
          <t>✓ All data is automatically backed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2026-04-29T21:37:16Z</dcterms:created>
  <dcterms:modified xmlns:dcterms="http://purl.org/dc/terms/" xmlns:xsi="http://www.w3.org/2001/XMLSchema-instance" xsi:type="dcterms:W3CDTF">2026-04-29T21:37:16Z</dcterms:modified>
</cp:coreProperties>
</file>